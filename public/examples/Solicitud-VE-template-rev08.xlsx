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Claudio Baez\Desktop\"/>
    </mc:Choice>
  </mc:AlternateContent>
  <xr:revisionPtr revIDLastSave="0" documentId="8_{DF0BD9EE-9D5F-42F8-BC81-5DA667D03873}" xr6:coauthVersionLast="47" xr6:coauthVersionMax="47" xr10:uidLastSave="{00000000-0000-0000-0000-000000000000}"/>
  <bookViews>
    <workbookView xWindow="-120" yWindow="-120" windowWidth="20730" windowHeight="11310" xr2:uid="{97C472AD-A5B0-4AE5-A0E9-801F68A5F4C9}"/>
  </bookViews>
  <sheets>
    <sheet name="ALAMOS WOTM S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1" l="1"/>
  <c r="D39" i="1"/>
  <c r="C39" i="1"/>
  <c r="E38" i="1"/>
  <c r="D38" i="1"/>
  <c r="C38" i="1"/>
  <c r="E35" i="1"/>
  <c r="D35" i="1"/>
  <c r="C35" i="1"/>
  <c r="E28" i="1"/>
  <c r="D28" i="1"/>
  <c r="C28" i="1"/>
  <c r="E27" i="1"/>
  <c r="D27" i="1"/>
  <c r="C27" i="1"/>
</calcChain>
</file>

<file path=xl/sharedStrings.xml><?xml version="1.0" encoding="utf-8"?>
<sst xmlns="http://schemas.openxmlformats.org/spreadsheetml/2006/main" count="94" uniqueCount="80">
  <si>
    <t>BODEGAS ESMERALDA S.A.</t>
  </si>
  <si>
    <t>SOLICITUD DE VESTIDO DE VINOS EN ESTIBA</t>
  </si>
  <si>
    <t>R1 IB 03</t>
  </si>
  <si>
    <t>Rev. 08</t>
  </si>
  <si>
    <t>Aprobó: Leopoldo Kuschnaroff</t>
  </si>
  <si>
    <t/>
  </si>
  <si>
    <t>INSUMOS</t>
  </si>
  <si>
    <t>FECHA DE SOLICITUD: 12/10/2022</t>
  </si>
  <si>
    <t>VOLUMEN:</t>
  </si>
  <si>
    <t>CANTIDAD DE BOTELLAS</t>
  </si>
  <si>
    <t>PRESENTACION:</t>
  </si>
  <si>
    <t>MERCADO INTERNO</t>
  </si>
  <si>
    <t>MERCADO EXTERNO:</t>
  </si>
  <si>
    <r>
      <t xml:space="preserve">Alcohol etiqueta:    </t>
    </r>
    <r>
      <rPr>
        <b/>
        <sz val="10"/>
        <rFont val="Calibri"/>
        <family val="2"/>
        <scheme val="minor"/>
      </rPr>
      <t>v/v</t>
    </r>
  </si>
  <si>
    <t xml:space="preserve">Responsable:  </t>
  </si>
  <si>
    <t>ESTIBA OBSERVADA</t>
  </si>
  <si>
    <t>MOTIVO</t>
  </si>
  <si>
    <t>HORARIO</t>
  </si>
  <si>
    <t>SI</t>
  </si>
  <si>
    <t>NO</t>
  </si>
  <si>
    <t>Desde:</t>
  </si>
  <si>
    <t>Hasta:</t>
  </si>
  <si>
    <t>Observaciones:</t>
  </si>
  <si>
    <t>LABORATORIO</t>
  </si>
  <si>
    <t>Origen</t>
  </si>
  <si>
    <t>Alcohol</t>
  </si>
  <si>
    <t>Ext. Seco</t>
  </si>
  <si>
    <t>Az.</t>
  </si>
  <si>
    <t>Ac. T.</t>
  </si>
  <si>
    <t>Ac. V.</t>
  </si>
  <si>
    <r>
      <t>SO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L</t>
    </r>
  </si>
  <si>
    <r>
      <t>SO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T</t>
    </r>
  </si>
  <si>
    <t>pH</t>
  </si>
  <si>
    <t>Color</t>
  </si>
  <si>
    <r>
      <t>CO</t>
    </r>
    <r>
      <rPr>
        <vertAlign val="subscript"/>
        <sz val="10"/>
        <rFont val="Calibri"/>
        <family val="2"/>
      </rPr>
      <t>2</t>
    </r>
  </si>
  <si>
    <r>
      <t>O</t>
    </r>
    <r>
      <rPr>
        <vertAlign val="subscript"/>
        <sz val="10"/>
        <rFont val="Calibri"/>
        <family val="2"/>
      </rPr>
      <t>2</t>
    </r>
  </si>
  <si>
    <t>I.C.</t>
  </si>
  <si>
    <t>NTU</t>
  </si>
  <si>
    <t>Lab. Enología</t>
  </si>
  <si>
    <t>I.N.V.</t>
  </si>
  <si>
    <t>BULK</t>
  </si>
  <si>
    <t xml:space="preserve">Max. </t>
  </si>
  <si>
    <t>Min.</t>
  </si>
  <si>
    <t>Nº de análisis:</t>
  </si>
  <si>
    <t>INVSM</t>
  </si>
  <si>
    <t xml:space="preserve">Observaciones: </t>
  </si>
  <si>
    <t>Fecha:</t>
  </si>
  <si>
    <t>Resp. de laboratorio</t>
  </si>
  <si>
    <t>LEGALES</t>
  </si>
  <si>
    <t>ANALISIS QUIMICO</t>
  </si>
  <si>
    <t>PESTICIDAS</t>
  </si>
  <si>
    <t>ALERGENOS</t>
  </si>
  <si>
    <t>OVOALBUMINA</t>
  </si>
  <si>
    <t>CASEINA</t>
  </si>
  <si>
    <t>LISOZIMA</t>
  </si>
  <si>
    <t>SULFITOS</t>
  </si>
  <si>
    <t>Otro</t>
  </si>
  <si>
    <t>CONTIENE</t>
  </si>
  <si>
    <t>ARSENICO/ FTALATOS/ OCRATOXINA</t>
  </si>
  <si>
    <t>ANALISIS AA</t>
  </si>
  <si>
    <t>GLUTEN</t>
  </si>
  <si>
    <t>Resp. de legales</t>
  </si>
  <si>
    <t>ENOLOGO</t>
  </si>
  <si>
    <t>DEGUSTACION</t>
  </si>
  <si>
    <t>CONFORME</t>
  </si>
  <si>
    <t>NO CONFORME</t>
  </si>
  <si>
    <t>Enólogo:</t>
  </si>
  <si>
    <t>Fecha de liberación del vino para vestido:</t>
  </si>
  <si>
    <t>FECHA DE LLENADO:  (fecha de fraccionamiento del vino)</t>
  </si>
  <si>
    <t>FECHA POSIBLE DE VESTIDO: (semana en la que se fracciona el vino se saca del sheets según la hoja por ej sem 13/07 al 17/07)</t>
  </si>
  <si>
    <t>LINEA DE PRODUCTO:  (es la columna marca que aparece en el sheets)</t>
  </si>
  <si>
    <t>VARIEDAD:  (es la columna variedad del sheets)</t>
  </si>
  <si>
    <t>COSECHA:  (es la columna cosecha del sheets)</t>
  </si>
  <si>
    <t>Nº DE CORTE: (es la columna Corte/AP que aparece en el reporte de estibas)</t>
  </si>
  <si>
    <t>LOTE: (es la columna Lote que aparece en el reporte de estibas)</t>
  </si>
  <si>
    <r>
      <t>CANTIDAD DE BOTELLAS EN ESTIBA: (aca se pone la cantidad de estiba que tenemos según reporte sumando todo lo que hay en la columna C.Ori de ese mismo producto ) SE OCUPAN</t>
    </r>
    <r>
      <rPr>
        <b/>
        <sz val="10"/>
        <rFont val="Calibri"/>
        <family val="2"/>
        <scheme val="minor"/>
      </rPr>
      <t xml:space="preserve">  (cant que seocupa según sheets columna Botellas)                                                      CODIGO: (es la columna Producto del reporte)</t>
    </r>
  </si>
  <si>
    <t>(si en la columna Cliente figura mercado interno se completa aca con la cantidad de cajas que aparece en la columna Cajas del sheets)</t>
  </si>
  <si>
    <t>(si es de algun cliente de otro pais que lo podes sacar de la columna País Destino del sheets tenes que mirar si la columna "Cj x" del sheets dice 6 y poner lo que dice ahí )</t>
  </si>
  <si>
    <t>(si es de algun cliente de otro pais que lo podes sacar de la columna País Destino del sheets tenes que mirar si la columna "Cj x" del sheets dice 12 y poner lo que dice ahí )</t>
  </si>
  <si>
    <t xml:space="preserve">CLIENTE: (aca pones lo de la columna Cliente del sheets)                                 PN#: (aca pones lo de la columna PINº del sheets)                           PAIS DESTINO: (y aca pones lo de la columna País Destino del sheets)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</si>
</sst>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</font>
    <font>
      <sz val="10"/>
      <name val="Arial"/>
      <family val="2"/>
    </font>
    <font>
      <sz val="16"/>
      <color rgb="FFC00000"/>
      <name val="Lucida Sans"/>
      <family val="2"/>
    </font>
    <font>
      <sz val="10"/>
      <name val="Calibri"/>
      <family val="2"/>
    </font>
    <font>
      <sz val="22"/>
      <name val="Calibri"/>
      <family val="2"/>
    </font>
    <font>
      <b/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</font>
    <font>
      <b/>
      <i/>
      <u/>
      <sz val="10"/>
      <color rgb="FF000000"/>
      <name val="Calibri"/>
      <family val="2"/>
      <scheme val="minor"/>
    </font>
    <font>
      <vertAlign val="subscript"/>
      <sz val="10"/>
      <name val="Calibri"/>
      <family val="2"/>
    </font>
    <font>
      <b/>
      <i/>
      <u/>
      <sz val="10"/>
      <name val="Calibri"/>
      <family val="2"/>
      <scheme val="minor"/>
    </font>
    <font>
      <i/>
      <u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 textRotation="255"/>
    </xf>
    <xf numFmtId="0" fontId="7" fillId="2" borderId="16" xfId="1" applyFont="1" applyFill="1" applyBorder="1" applyAlignment="1">
      <alignment horizontal="left"/>
    </xf>
    <xf numFmtId="0" fontId="7" fillId="2" borderId="17" xfId="1" applyFont="1" applyFill="1" applyBorder="1" applyAlignment="1">
      <alignment horizontal="left"/>
    </xf>
    <xf numFmtId="0" fontId="7" fillId="2" borderId="18" xfId="1" applyFont="1" applyFill="1" applyBorder="1" applyAlignment="1">
      <alignment horizontal="left"/>
    </xf>
    <xf numFmtId="0" fontId="6" fillId="2" borderId="19" xfId="1" applyFont="1" applyFill="1" applyBorder="1" applyAlignment="1">
      <alignment vertical="center" textRotation="255"/>
    </xf>
    <xf numFmtId="0" fontId="7" fillId="2" borderId="20" xfId="1" applyFont="1" applyFill="1" applyBorder="1" applyAlignment="1">
      <alignment horizontal="left"/>
    </xf>
    <xf numFmtId="0" fontId="7" fillId="2" borderId="21" xfId="1" applyFont="1" applyFill="1" applyBorder="1" applyAlignment="1">
      <alignment horizontal="left"/>
    </xf>
    <xf numFmtId="0" fontId="7" fillId="2" borderId="22" xfId="1" applyFont="1" applyFill="1" applyBorder="1" applyAlignment="1">
      <alignment horizontal="left"/>
    </xf>
    <xf numFmtId="0" fontId="7" fillId="2" borderId="23" xfId="1" applyFont="1" applyFill="1" applyBorder="1" applyAlignment="1">
      <alignment horizontal="left"/>
    </xf>
    <xf numFmtId="0" fontId="7" fillId="2" borderId="24" xfId="1" applyFont="1" applyFill="1" applyBorder="1" applyAlignment="1">
      <alignment horizontal="left"/>
    </xf>
    <xf numFmtId="0" fontId="6" fillId="2" borderId="20" xfId="1" applyFont="1" applyFill="1" applyBorder="1" applyAlignment="1">
      <alignment horizontal="left"/>
    </xf>
    <xf numFmtId="0" fontId="7" fillId="2" borderId="23" xfId="1" applyFont="1" applyFill="1" applyBorder="1" applyAlignment="1">
      <alignment horizontal="left"/>
    </xf>
    <xf numFmtId="0" fontId="7" fillId="2" borderId="20" xfId="1" applyFont="1" applyFill="1" applyBorder="1" applyAlignment="1">
      <alignment horizontal="center"/>
    </xf>
    <xf numFmtId="0" fontId="7" fillId="2" borderId="21" xfId="1" applyFont="1" applyFill="1" applyBorder="1" applyAlignment="1">
      <alignment horizontal="center"/>
    </xf>
    <xf numFmtId="0" fontId="7" fillId="2" borderId="25" xfId="1" applyFont="1" applyFill="1" applyBorder="1" applyAlignment="1">
      <alignment horizontal="center"/>
    </xf>
    <xf numFmtId="0" fontId="7" fillId="2" borderId="24" xfId="1" applyFont="1" applyFill="1" applyBorder="1" applyAlignment="1">
      <alignment horizontal="left"/>
    </xf>
    <xf numFmtId="0" fontId="7" fillId="2" borderId="0" xfId="1" applyFont="1" applyFill="1"/>
    <xf numFmtId="0" fontId="7" fillId="2" borderId="23" xfId="1" applyFont="1" applyFill="1" applyBorder="1"/>
    <xf numFmtId="0" fontId="7" fillId="2" borderId="0" xfId="1" applyFont="1" applyFill="1" applyAlignment="1">
      <alignment wrapText="1"/>
    </xf>
    <xf numFmtId="0" fontId="7" fillId="2" borderId="9" xfId="1" applyFont="1" applyFill="1" applyBorder="1"/>
    <xf numFmtId="0" fontId="7" fillId="2" borderId="26" xfId="1" applyFont="1" applyFill="1" applyBorder="1" applyAlignment="1">
      <alignment horizontal="left"/>
    </xf>
    <xf numFmtId="0" fontId="7" fillId="2" borderId="27" xfId="1" applyFont="1" applyFill="1" applyBorder="1" applyAlignment="1">
      <alignment horizontal="left"/>
    </xf>
    <xf numFmtId="0" fontId="7" fillId="2" borderId="28" xfId="1" applyFont="1" applyFill="1" applyBorder="1" applyAlignment="1">
      <alignment horizontal="left"/>
    </xf>
    <xf numFmtId="0" fontId="7" fillId="2" borderId="29" xfId="1" applyFont="1" applyFill="1" applyBorder="1" applyAlignment="1">
      <alignment horizontal="left"/>
    </xf>
    <xf numFmtId="0" fontId="7" fillId="2" borderId="30" xfId="1" applyFont="1" applyFill="1" applyBorder="1" applyAlignment="1">
      <alignment horizontal="left"/>
    </xf>
    <xf numFmtId="0" fontId="7" fillId="2" borderId="31" xfId="1" applyFont="1" applyFill="1" applyBorder="1" applyAlignment="1">
      <alignment horizontal="left"/>
    </xf>
    <xf numFmtId="0" fontId="8" fillId="0" borderId="23" xfId="0" applyFont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7" fillId="2" borderId="23" xfId="1" applyFont="1" applyFill="1" applyBorder="1" applyAlignment="1">
      <alignment vertical="center"/>
    </xf>
    <xf numFmtId="0" fontId="7" fillId="2" borderId="23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left" vertical="center"/>
    </xf>
    <xf numFmtId="0" fontId="9" fillId="2" borderId="0" xfId="0" applyFont="1" applyFill="1"/>
    <xf numFmtId="0" fontId="6" fillId="2" borderId="32" xfId="1" applyFont="1" applyFill="1" applyBorder="1" applyAlignment="1">
      <alignment vertical="center" textRotation="255"/>
    </xf>
    <xf numFmtId="0" fontId="10" fillId="0" borderId="2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6" fillId="2" borderId="23" xfId="1" applyFont="1" applyFill="1" applyBorder="1" applyAlignment="1">
      <alignment horizontal="center" vertical="center" textRotation="255"/>
    </xf>
    <xf numFmtId="0" fontId="7" fillId="2" borderId="25" xfId="1" applyFont="1" applyFill="1" applyBorder="1" applyAlignment="1">
      <alignment horizontal="center"/>
    </xf>
    <xf numFmtId="0" fontId="7" fillId="2" borderId="23" xfId="1" applyFont="1" applyFill="1" applyBorder="1" applyAlignment="1">
      <alignment horizontal="center"/>
    </xf>
    <xf numFmtId="0" fontId="7" fillId="2" borderId="23" xfId="1" applyFont="1" applyFill="1" applyBorder="1" applyAlignment="1">
      <alignment horizontal="center" wrapText="1"/>
    </xf>
    <xf numFmtId="0" fontId="7" fillId="2" borderId="33" xfId="1" applyFont="1" applyFill="1" applyBorder="1"/>
    <xf numFmtId="0" fontId="3" fillId="3" borderId="23" xfId="0" applyFont="1" applyFill="1" applyBorder="1" applyAlignment="1">
      <alignment horizontal="center"/>
    </xf>
    <xf numFmtId="0" fontId="7" fillId="2" borderId="25" xfId="1" applyFont="1" applyFill="1" applyBorder="1"/>
    <xf numFmtId="0" fontId="7" fillId="2" borderId="23" xfId="1" applyFont="1" applyFill="1" applyBorder="1" applyAlignment="1">
      <alignment wrapText="1"/>
    </xf>
    <xf numFmtId="0" fontId="7" fillId="2" borderId="15" xfId="1" applyFont="1" applyFill="1" applyBorder="1"/>
    <xf numFmtId="0" fontId="7" fillId="2" borderId="15" xfId="1" applyFont="1" applyFill="1" applyBorder="1" applyAlignment="1">
      <alignment wrapText="1"/>
    </xf>
    <xf numFmtId="0" fontId="6" fillId="2" borderId="25" xfId="1" applyFont="1" applyFill="1" applyBorder="1"/>
    <xf numFmtId="0" fontId="6" fillId="2" borderId="23" xfId="1" applyFont="1" applyFill="1" applyBorder="1"/>
    <xf numFmtId="0" fontId="7" fillId="2" borderId="22" xfId="1" applyFont="1" applyFill="1" applyBorder="1" applyAlignment="1">
      <alignment horizontal="center"/>
    </xf>
    <xf numFmtId="0" fontId="7" fillId="2" borderId="26" xfId="1" applyFont="1" applyFill="1" applyBorder="1" applyAlignment="1">
      <alignment horizontal="left" vertical="top"/>
    </xf>
    <xf numFmtId="0" fontId="7" fillId="2" borderId="27" xfId="1" applyFont="1" applyFill="1" applyBorder="1" applyAlignment="1">
      <alignment horizontal="left" vertical="top"/>
    </xf>
    <xf numFmtId="0" fontId="7" fillId="2" borderId="28" xfId="1" applyFont="1" applyFill="1" applyBorder="1" applyAlignment="1">
      <alignment horizontal="left" vertical="top"/>
    </xf>
    <xf numFmtId="0" fontId="7" fillId="2" borderId="29" xfId="1" applyFont="1" applyFill="1" applyBorder="1" applyAlignment="1">
      <alignment horizontal="left" vertical="top"/>
    </xf>
    <xf numFmtId="0" fontId="7" fillId="2" borderId="30" xfId="1" applyFont="1" applyFill="1" applyBorder="1" applyAlignment="1">
      <alignment horizontal="left" vertical="top"/>
    </xf>
    <xf numFmtId="0" fontId="7" fillId="2" borderId="31" xfId="1" applyFont="1" applyFill="1" applyBorder="1" applyAlignment="1">
      <alignment horizontal="left" vertical="top"/>
    </xf>
    <xf numFmtId="0" fontId="7" fillId="2" borderId="25" xfId="1" applyFont="1" applyFill="1" applyBorder="1" applyAlignment="1">
      <alignment horizontal="left"/>
    </xf>
    <xf numFmtId="0" fontId="6" fillId="2" borderId="26" xfId="1" applyFont="1" applyFill="1" applyBorder="1" applyAlignment="1">
      <alignment horizontal="center" vertical="center"/>
    </xf>
    <xf numFmtId="0" fontId="6" fillId="2" borderId="27" xfId="1" applyFont="1" applyFill="1" applyBorder="1" applyAlignment="1">
      <alignment horizontal="center" vertical="center"/>
    </xf>
    <xf numFmtId="0" fontId="6" fillId="2" borderId="28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wrapText="1"/>
    </xf>
    <xf numFmtId="0" fontId="6" fillId="2" borderId="23" xfId="1" applyFont="1" applyFill="1" applyBorder="1" applyAlignment="1">
      <alignment horizontal="center"/>
    </xf>
    <xf numFmtId="0" fontId="6" fillId="2" borderId="21" xfId="1" applyFont="1" applyFill="1" applyBorder="1" applyAlignment="1">
      <alignment horizontal="left"/>
    </xf>
    <xf numFmtId="0" fontId="6" fillId="2" borderId="25" xfId="1" applyFont="1" applyFill="1" applyBorder="1" applyAlignment="1">
      <alignment horizontal="left"/>
    </xf>
    <xf numFmtId="0" fontId="6" fillId="2" borderId="20" xfId="1" applyFont="1" applyFill="1" applyBorder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wrapText="1"/>
    </xf>
    <xf numFmtId="0" fontId="13" fillId="2" borderId="26" xfId="1" applyFont="1" applyFill="1" applyBorder="1" applyAlignment="1">
      <alignment horizontal="center" vertical="center" wrapText="1"/>
    </xf>
    <xf numFmtId="0" fontId="13" fillId="2" borderId="34" xfId="1" applyFont="1" applyFill="1" applyBorder="1" applyAlignment="1">
      <alignment horizontal="center" vertical="center" wrapText="1"/>
    </xf>
    <xf numFmtId="0" fontId="13" fillId="2" borderId="35" xfId="1" applyFont="1" applyFill="1" applyBorder="1" applyAlignment="1">
      <alignment horizontal="center" wrapText="1"/>
    </xf>
    <xf numFmtId="0" fontId="13" fillId="2" borderId="29" xfId="1" applyFont="1" applyFill="1" applyBorder="1" applyAlignment="1">
      <alignment horizontal="center" vertical="center" wrapText="1"/>
    </xf>
    <xf numFmtId="0" fontId="13" fillId="2" borderId="33" xfId="1" applyFont="1" applyFill="1" applyBorder="1" applyAlignment="1">
      <alignment horizontal="center" vertical="center" wrapText="1"/>
    </xf>
    <xf numFmtId="0" fontId="13" fillId="2" borderId="20" xfId="1" applyFont="1" applyFill="1" applyBorder="1" applyAlignment="1">
      <alignment horizontal="center" vertical="center" wrapText="1"/>
    </xf>
    <xf numFmtId="0" fontId="13" fillId="2" borderId="25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 wrapText="1"/>
    </xf>
    <xf numFmtId="0" fontId="14" fillId="2" borderId="25" xfId="1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15" fillId="2" borderId="25" xfId="0" applyFont="1" applyFill="1" applyBorder="1" applyAlignment="1">
      <alignment horizontal="center"/>
    </xf>
    <xf numFmtId="0" fontId="12" fillId="2" borderId="20" xfId="1" applyFont="1" applyFill="1" applyBorder="1" applyAlignment="1">
      <alignment horizontal="center" vertical="center" wrapText="1"/>
    </xf>
    <xf numFmtId="0" fontId="12" fillId="2" borderId="25" xfId="1" applyFont="1" applyFill="1" applyBorder="1" applyAlignment="1">
      <alignment horizontal="center" vertical="center" wrapText="1"/>
    </xf>
    <xf numFmtId="0" fontId="7" fillId="2" borderId="26" xfId="1" applyFont="1" applyFill="1" applyBorder="1"/>
    <xf numFmtId="0" fontId="7" fillId="2" borderId="29" xfId="1" applyFont="1" applyFill="1" applyBorder="1" applyAlignment="1">
      <alignment wrapText="1"/>
    </xf>
    <xf numFmtId="0" fontId="7" fillId="2" borderId="34" xfId="1" applyFont="1" applyFill="1" applyBorder="1" applyAlignment="1">
      <alignment horizontal="left" vertical="top"/>
    </xf>
    <xf numFmtId="0" fontId="7" fillId="2" borderId="33" xfId="1" applyFont="1" applyFill="1" applyBorder="1" applyAlignment="1">
      <alignment horizontal="left" vertical="top"/>
    </xf>
    <xf numFmtId="0" fontId="6" fillId="2" borderId="20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7" fillId="2" borderId="32" xfId="1" applyFont="1" applyFill="1" applyBorder="1" applyAlignment="1">
      <alignment horizontal="center" wrapText="1"/>
    </xf>
    <xf numFmtId="0" fontId="7" fillId="2" borderId="0" xfId="1" applyFont="1" applyFill="1" applyAlignment="1">
      <alignment horizontal="center" wrapText="1"/>
    </xf>
    <xf numFmtId="0" fontId="7" fillId="2" borderId="32" xfId="1" applyFont="1" applyFill="1" applyBorder="1"/>
    <xf numFmtId="0" fontId="16" fillId="2" borderId="0" xfId="1" applyFont="1" applyFill="1"/>
    <xf numFmtId="0" fontId="7" fillId="2" borderId="8" xfId="1" applyFont="1" applyFill="1" applyBorder="1" applyAlignment="1">
      <alignment vertical="center"/>
    </xf>
    <xf numFmtId="0" fontId="7" fillId="2" borderId="11" xfId="1" applyFont="1" applyFill="1" applyBorder="1" applyAlignment="1">
      <alignment vertical="center"/>
    </xf>
    <xf numFmtId="0" fontId="7" fillId="2" borderId="12" xfId="1" applyFont="1" applyFill="1" applyBorder="1"/>
    <xf numFmtId="0" fontId="7" fillId="2" borderId="12" xfId="1" applyFont="1" applyFill="1" applyBorder="1" applyAlignment="1">
      <alignment wrapText="1"/>
    </xf>
    <xf numFmtId="0" fontId="7" fillId="2" borderId="13" xfId="1" applyFont="1" applyFill="1" applyBorder="1"/>
  </cellXfs>
  <cellStyles count="2">
    <cellStyle name="Normal" xfId="0" builtinId="0"/>
    <cellStyle name="Normal 2" xfId="1" xr:uid="{D57A88AB-BE86-44C5-A4E6-C759E38BC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95250</xdr:colOff>
          <xdr:row>4</xdr:row>
          <xdr:rowOff>0</xdr:rowOff>
        </xdr:from>
        <xdr:to>
          <xdr:col>3</xdr:col>
          <xdr:colOff>400050</xdr:colOff>
          <xdr:row>4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88992DD-C0F4-458E-82CB-20810D4FD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38A0-DB8A-4F89-9B01-F454A9884A1F}">
  <sheetPr>
    <tabColor theme="3" tint="0.59999389629810485"/>
    <pageSetUpPr fitToPage="1"/>
  </sheetPr>
  <dimension ref="A1:P54"/>
  <sheetViews>
    <sheetView tabSelected="1" zoomScale="90" zoomScaleNormal="90" workbookViewId="0">
      <selection activeCell="V7" sqref="V7"/>
    </sheetView>
  </sheetViews>
  <sheetFormatPr baseColWidth="10" defaultColWidth="11.42578125" defaultRowHeight="12.75" x14ac:dyDescent="0.2"/>
  <cols>
    <col min="1" max="1" width="4.5703125" style="2" customWidth="1"/>
    <col min="2" max="2" width="15.28515625" style="2" customWidth="1"/>
    <col min="3" max="3" width="7" style="2" customWidth="1"/>
    <col min="4" max="4" width="8.85546875" style="2" customWidth="1"/>
    <col min="5" max="5" width="6.7109375" style="2" customWidth="1"/>
    <col min="6" max="6" width="6.7109375" style="3" customWidth="1"/>
    <col min="7" max="7" width="6.7109375" style="2" customWidth="1"/>
    <col min="8" max="8" width="6.7109375" style="3" customWidth="1"/>
    <col min="9" max="9" width="6.7109375" style="2" customWidth="1"/>
    <col min="10" max="10" width="6.5703125" style="2" customWidth="1"/>
    <col min="11" max="11" width="8.140625" style="2" customWidth="1"/>
    <col min="12" max="12" width="6.7109375" style="2" customWidth="1"/>
    <col min="13" max="13" width="7.5703125" style="2" customWidth="1"/>
    <col min="14" max="15" width="6.7109375" style="2" customWidth="1"/>
    <col min="16" max="16" width="5.140625" style="2" customWidth="1"/>
    <col min="17" max="16384" width="11.42578125" style="2"/>
  </cols>
  <sheetData>
    <row r="1" spans="1:16" ht="20.25" customHeight="1" thickBot="1" x14ac:dyDescent="0.35">
      <c r="A1" s="1" t="s">
        <v>0</v>
      </c>
      <c r="B1" s="1"/>
      <c r="C1" s="1"/>
    </row>
    <row r="2" spans="1:16" ht="18" customHeight="1" thickBot="1" x14ac:dyDescent="0.25">
      <c r="A2" s="4" t="s">
        <v>1</v>
      </c>
      <c r="B2" s="5"/>
      <c r="C2" s="5"/>
      <c r="D2" s="5"/>
      <c r="E2" s="5"/>
      <c r="F2" s="5"/>
      <c r="G2" s="5"/>
      <c r="H2" s="5"/>
      <c r="I2" s="6" t="s">
        <v>2</v>
      </c>
      <c r="J2" s="7"/>
      <c r="K2" s="8" t="s">
        <v>3</v>
      </c>
      <c r="L2" s="9" t="s">
        <v>4</v>
      </c>
      <c r="M2" s="10"/>
      <c r="N2" s="10"/>
      <c r="O2" s="10"/>
      <c r="P2" s="11"/>
    </row>
    <row r="3" spans="1:16" ht="16.5" customHeight="1" x14ac:dyDescent="0.2">
      <c r="A3" s="12"/>
      <c r="B3" s="13"/>
      <c r="C3" s="13"/>
      <c r="D3" s="13"/>
      <c r="E3" s="13"/>
      <c r="F3" s="13"/>
      <c r="G3" s="13"/>
      <c r="H3" s="13"/>
      <c r="I3" s="14"/>
      <c r="J3" s="15"/>
      <c r="K3" s="16"/>
      <c r="L3" s="17"/>
      <c r="M3" s="18"/>
      <c r="N3" s="18"/>
      <c r="O3" s="18"/>
      <c r="P3" s="19"/>
    </row>
    <row r="4" spans="1:16" ht="24" customHeight="1" thickBot="1" x14ac:dyDescent="0.25">
      <c r="A4" s="20"/>
      <c r="B4" s="21"/>
      <c r="C4" s="21"/>
      <c r="D4" s="21"/>
      <c r="E4" s="21"/>
      <c r="F4" s="21"/>
      <c r="G4" s="21"/>
      <c r="H4" s="21"/>
      <c r="I4" s="22"/>
      <c r="J4" s="23"/>
      <c r="K4" s="24"/>
      <c r="L4" s="25"/>
      <c r="M4" s="26"/>
      <c r="N4" s="26"/>
      <c r="O4" s="26"/>
      <c r="P4" s="27"/>
    </row>
    <row r="5" spans="1:16" ht="18" customHeight="1" x14ac:dyDescent="0.2">
      <c r="A5" s="28" t="s">
        <v>6</v>
      </c>
      <c r="B5" s="29" t="s">
        <v>7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1"/>
    </row>
    <row r="6" spans="1:16" ht="18" customHeight="1" x14ac:dyDescent="0.2">
      <c r="A6" s="32"/>
      <c r="B6" s="33" t="s">
        <v>68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</row>
    <row r="7" spans="1:16" ht="18" customHeight="1" x14ac:dyDescent="0.2">
      <c r="A7" s="32"/>
      <c r="B7" s="36" t="s">
        <v>69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</row>
    <row r="8" spans="1:16" ht="18" customHeight="1" x14ac:dyDescent="0.2">
      <c r="A8" s="32"/>
      <c r="B8" s="33" t="s">
        <v>70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8" customHeight="1" x14ac:dyDescent="0.2">
      <c r="A9" s="32"/>
      <c r="B9" s="33" t="s">
        <v>71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8" customHeight="1" x14ac:dyDescent="0.2">
      <c r="A10" s="32"/>
      <c r="B10" s="38" t="s">
        <v>72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8" customHeight="1" x14ac:dyDescent="0.2">
      <c r="A11" s="32"/>
      <c r="B11" s="33" t="s">
        <v>73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8" customHeight="1" x14ac:dyDescent="0.2">
      <c r="A12" s="32"/>
      <c r="B12" s="33" t="s">
        <v>74</v>
      </c>
      <c r="C12" s="34"/>
      <c r="D12" s="34"/>
      <c r="E12" s="34"/>
      <c r="F12" s="34"/>
      <c r="G12" s="34"/>
      <c r="H12" s="34" t="s">
        <v>8</v>
      </c>
      <c r="I12" s="34"/>
      <c r="J12" s="34"/>
      <c r="K12" s="34"/>
      <c r="L12" s="34"/>
      <c r="M12" s="34"/>
      <c r="N12" s="34"/>
      <c r="O12" s="34"/>
      <c r="P12" s="35"/>
    </row>
    <row r="13" spans="1:16" ht="18" customHeight="1" x14ac:dyDescent="0.2">
      <c r="A13" s="32"/>
      <c r="B13" s="33" t="s">
        <v>75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8" customHeight="1" x14ac:dyDescent="0.2">
      <c r="A14" s="32"/>
      <c r="B14" s="39" t="s">
        <v>9</v>
      </c>
      <c r="C14" s="39"/>
      <c r="D14" s="39"/>
      <c r="E14" s="40"/>
      <c r="F14" s="41"/>
      <c r="G14" s="41"/>
      <c r="H14" s="41"/>
      <c r="I14" s="42"/>
      <c r="J14" s="39" t="s">
        <v>10</v>
      </c>
      <c r="K14" s="39"/>
      <c r="L14" s="39"/>
      <c r="M14" s="39">
        <v>6</v>
      </c>
      <c r="N14" s="39"/>
      <c r="O14" s="39">
        <v>12</v>
      </c>
      <c r="P14" s="43"/>
    </row>
    <row r="15" spans="1:16" ht="18" customHeight="1" x14ac:dyDescent="0.2">
      <c r="A15" s="32"/>
      <c r="B15" s="44" t="s">
        <v>11</v>
      </c>
      <c r="C15" s="44"/>
      <c r="D15" s="44"/>
      <c r="E15" s="45" t="s">
        <v>76</v>
      </c>
      <c r="F15" s="46"/>
      <c r="G15" s="44"/>
      <c r="H15" s="46"/>
      <c r="I15" s="44"/>
      <c r="J15" s="45" t="s">
        <v>12</v>
      </c>
      <c r="K15" s="45"/>
      <c r="L15" s="45"/>
      <c r="M15" s="45" t="s">
        <v>77</v>
      </c>
      <c r="N15" s="44"/>
      <c r="O15" s="45" t="s">
        <v>78</v>
      </c>
      <c r="P15" s="47"/>
    </row>
    <row r="16" spans="1:16" ht="18" customHeight="1" x14ac:dyDescent="0.2">
      <c r="A16" s="32"/>
      <c r="B16" s="36" t="s">
        <v>79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</row>
    <row r="17" spans="1:16" ht="18" customHeight="1" x14ac:dyDescent="0.2">
      <c r="A17" s="32"/>
      <c r="B17" s="48" t="s">
        <v>13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0"/>
    </row>
    <row r="18" spans="1:16" ht="18" customHeight="1" x14ac:dyDescent="0.2">
      <c r="A18" s="32"/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3"/>
    </row>
    <row r="19" spans="1:16" ht="18" customHeight="1" x14ac:dyDescent="0.2">
      <c r="A19" s="32"/>
      <c r="B19" s="48" t="s">
        <v>14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50"/>
    </row>
    <row r="20" spans="1:16" ht="15.75" customHeight="1" x14ac:dyDescent="0.2">
      <c r="A20" s="32"/>
      <c r="B20" s="54" t="s">
        <v>15</v>
      </c>
      <c r="C20" s="54"/>
      <c r="D20" s="54"/>
      <c r="E20" s="54"/>
      <c r="F20" s="55" t="s">
        <v>16</v>
      </c>
      <c r="G20" s="55"/>
      <c r="H20" s="55"/>
      <c r="I20" s="55" t="s">
        <v>9</v>
      </c>
      <c r="J20" s="55"/>
      <c r="K20" s="55"/>
      <c r="L20" s="55" t="s">
        <v>17</v>
      </c>
      <c r="M20" s="55"/>
      <c r="N20" s="55"/>
      <c r="O20" s="55"/>
      <c r="P20" s="55"/>
    </row>
    <row r="21" spans="1:16" s="60" customFormat="1" ht="19.5" customHeight="1" x14ac:dyDescent="0.2">
      <c r="A21" s="32"/>
      <c r="B21" s="56" t="s">
        <v>18</v>
      </c>
      <c r="C21" s="57"/>
      <c r="D21" s="56" t="s">
        <v>19</v>
      </c>
      <c r="E21" s="58"/>
      <c r="F21" s="55"/>
      <c r="G21" s="55"/>
      <c r="H21" s="55"/>
      <c r="I21" s="55"/>
      <c r="J21" s="55"/>
      <c r="K21" s="55"/>
      <c r="L21" s="59" t="s">
        <v>20</v>
      </c>
      <c r="M21" s="59"/>
      <c r="N21" s="59" t="s">
        <v>21</v>
      </c>
      <c r="O21" s="59"/>
      <c r="P21" s="59"/>
    </row>
    <row r="22" spans="1:16" s="60" customFormat="1" ht="15" customHeight="1" x14ac:dyDescent="0.2">
      <c r="A22" s="61"/>
      <c r="B22" s="62" t="s">
        <v>22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4"/>
    </row>
    <row r="23" spans="1:16" s="60" customFormat="1" ht="16.5" customHeight="1" x14ac:dyDescent="0.25">
      <c r="A23" s="65" t="s">
        <v>23</v>
      </c>
      <c r="B23" s="66" t="s">
        <v>24</v>
      </c>
      <c r="C23" s="67" t="s">
        <v>25</v>
      </c>
      <c r="D23" s="67" t="s">
        <v>26</v>
      </c>
      <c r="E23" s="67" t="s">
        <v>27</v>
      </c>
      <c r="F23" s="68" t="s">
        <v>28</v>
      </c>
      <c r="G23" s="68" t="s">
        <v>29</v>
      </c>
      <c r="H23" s="68" t="s">
        <v>30</v>
      </c>
      <c r="I23" s="68" t="s">
        <v>31</v>
      </c>
      <c r="J23" s="68" t="s">
        <v>32</v>
      </c>
      <c r="K23" s="68" t="s">
        <v>33</v>
      </c>
      <c r="L23" s="68" t="s">
        <v>34</v>
      </c>
      <c r="M23" s="68" t="s">
        <v>35</v>
      </c>
      <c r="N23" s="67" t="s">
        <v>36</v>
      </c>
      <c r="O23" s="67" t="s">
        <v>37</v>
      </c>
      <c r="P23" s="67"/>
    </row>
    <row r="24" spans="1:16" s="60" customFormat="1" ht="12" customHeight="1" x14ac:dyDescent="0.2">
      <c r="A24" s="65"/>
      <c r="B24" s="69" t="s">
        <v>38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47"/>
    </row>
    <row r="25" spans="1:16" s="60" customFormat="1" ht="12" customHeight="1" x14ac:dyDescent="0.2">
      <c r="A25" s="65"/>
      <c r="B25" s="71" t="s">
        <v>39</v>
      </c>
      <c r="C25" s="45"/>
      <c r="D25" s="45"/>
      <c r="E25" s="45"/>
      <c r="F25" s="72"/>
      <c r="G25" s="45"/>
      <c r="H25" s="72"/>
      <c r="I25" s="45"/>
      <c r="J25" s="45"/>
      <c r="K25" s="45"/>
      <c r="L25" s="45"/>
      <c r="M25" s="45"/>
      <c r="N25" s="45"/>
      <c r="O25" s="45"/>
      <c r="P25" s="47"/>
    </row>
    <row r="26" spans="1:16" s="60" customFormat="1" ht="12" customHeight="1" x14ac:dyDescent="0.2">
      <c r="A26" s="65"/>
      <c r="B26" s="71" t="s">
        <v>40</v>
      </c>
      <c r="C26" s="45"/>
      <c r="D26" s="45"/>
      <c r="E26" s="45"/>
      <c r="F26" s="72"/>
      <c r="G26" s="45"/>
      <c r="H26" s="72"/>
      <c r="I26" s="45"/>
      <c r="J26" s="45"/>
      <c r="K26" s="45"/>
      <c r="L26" s="45"/>
      <c r="M26" s="45"/>
      <c r="N26" s="45"/>
      <c r="O26" s="45"/>
      <c r="P26" s="47"/>
    </row>
    <row r="27" spans="1:16" ht="19.5" customHeight="1" x14ac:dyDescent="0.2">
      <c r="A27" s="65"/>
      <c r="B27" s="71" t="s">
        <v>41</v>
      </c>
      <c r="C27" s="45">
        <f>+C25+0.3</f>
        <v>0.3</v>
      </c>
      <c r="D27" s="45">
        <f>((7.5*D25)/100)+D25</f>
        <v>0</v>
      </c>
      <c r="E27" s="45">
        <f>+E25+2</f>
        <v>2</v>
      </c>
      <c r="F27" s="72"/>
      <c r="G27" s="45"/>
      <c r="H27" s="72"/>
      <c r="I27" s="45"/>
      <c r="J27" s="45"/>
      <c r="K27" s="45"/>
      <c r="L27" s="45"/>
      <c r="M27" s="45"/>
      <c r="N27" s="45"/>
      <c r="O27" s="45"/>
      <c r="P27" s="47"/>
    </row>
    <row r="28" spans="1:16" x14ac:dyDescent="0.2">
      <c r="A28" s="65"/>
      <c r="B28" s="71" t="s">
        <v>42</v>
      </c>
      <c r="C28" s="45">
        <f>+C25-0.3</f>
        <v>-0.3</v>
      </c>
      <c r="D28" s="45">
        <f>(D25-(7.5*D25)/100)</f>
        <v>0</v>
      </c>
      <c r="E28" s="73">
        <f>+E25-2</f>
        <v>-2</v>
      </c>
      <c r="F28" s="74"/>
      <c r="G28" s="73"/>
      <c r="H28" s="74"/>
      <c r="I28" s="73"/>
      <c r="J28" s="73"/>
      <c r="K28" s="73"/>
      <c r="L28" s="73"/>
      <c r="M28" s="73"/>
      <c r="N28" s="73"/>
      <c r="O28" s="73"/>
      <c r="P28" s="47"/>
    </row>
    <row r="29" spans="1:16" x14ac:dyDescent="0.2">
      <c r="A29" s="65"/>
      <c r="B29" s="75" t="s">
        <v>43</v>
      </c>
      <c r="C29" s="76"/>
      <c r="D29" s="76" t="s">
        <v>44</v>
      </c>
      <c r="E29" s="40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77"/>
    </row>
    <row r="30" spans="1:16" ht="16.5" customHeight="1" x14ac:dyDescent="0.2">
      <c r="A30" s="65"/>
      <c r="B30" s="78" t="s">
        <v>45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80"/>
    </row>
    <row r="31" spans="1:16" ht="15.75" customHeight="1" x14ac:dyDescent="0.2">
      <c r="A31" s="65"/>
      <c r="B31" s="81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3"/>
    </row>
    <row r="32" spans="1:16" s="60" customFormat="1" ht="19.5" customHeight="1" x14ac:dyDescent="0.2">
      <c r="A32" s="65"/>
      <c r="B32" s="34" t="s">
        <v>46</v>
      </c>
      <c r="C32" s="34"/>
      <c r="D32" s="34"/>
      <c r="E32" s="34"/>
      <c r="F32" s="34"/>
      <c r="G32" s="84"/>
      <c r="H32" s="33" t="s">
        <v>47</v>
      </c>
      <c r="I32" s="34"/>
      <c r="J32" s="34"/>
      <c r="K32" s="34"/>
      <c r="L32" s="34"/>
      <c r="M32" s="34"/>
      <c r="N32" s="34"/>
      <c r="O32" s="34"/>
      <c r="P32" s="35"/>
    </row>
    <row r="33" spans="1:16" s="60" customFormat="1" ht="17.25" customHeight="1" x14ac:dyDescent="0.2">
      <c r="A33" s="65" t="s">
        <v>48</v>
      </c>
      <c r="B33" s="85" t="s">
        <v>49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7"/>
    </row>
    <row r="34" spans="1:16" s="60" customFormat="1" ht="12" customHeight="1" x14ac:dyDescent="0.2">
      <c r="A34" s="65"/>
      <c r="B34" s="67" t="s">
        <v>24</v>
      </c>
      <c r="C34" s="67" t="s">
        <v>25</v>
      </c>
      <c r="D34" s="67" t="s">
        <v>26</v>
      </c>
      <c r="E34" s="67" t="s">
        <v>27</v>
      </c>
      <c r="F34" s="88"/>
      <c r="G34" s="88"/>
      <c r="H34" s="89" t="s">
        <v>43</v>
      </c>
      <c r="I34" s="89"/>
      <c r="J34" s="38"/>
      <c r="K34" s="90"/>
      <c r="L34" s="90"/>
      <c r="M34" s="90"/>
      <c r="N34" s="90"/>
      <c r="O34" s="90"/>
      <c r="P34" s="91"/>
    </row>
    <row r="35" spans="1:16" s="60" customFormat="1" ht="12" customHeight="1" x14ac:dyDescent="0.2">
      <c r="A35" s="65"/>
      <c r="B35" s="45" t="s">
        <v>38</v>
      </c>
      <c r="C35" s="45">
        <f>+C24</f>
        <v>0</v>
      </c>
      <c r="D35" s="45">
        <f>+D24</f>
        <v>0</v>
      </c>
      <c r="E35" s="45">
        <f>+E24</f>
        <v>0</v>
      </c>
      <c r="F35" s="44"/>
      <c r="G35" s="92" t="s">
        <v>50</v>
      </c>
      <c r="H35" s="93"/>
      <c r="I35" s="92" t="s">
        <v>51</v>
      </c>
      <c r="J35" s="94"/>
      <c r="K35" s="94"/>
      <c r="L35" s="94"/>
      <c r="M35" s="94"/>
      <c r="N35" s="94"/>
      <c r="O35" s="94"/>
      <c r="P35" s="93"/>
    </row>
    <row r="36" spans="1:16" ht="12.75" customHeight="1" x14ac:dyDescent="0.2">
      <c r="A36" s="65"/>
      <c r="B36" s="45" t="s">
        <v>39</v>
      </c>
      <c r="C36" s="45"/>
      <c r="D36" s="45"/>
      <c r="E36" s="45"/>
      <c r="F36" s="95"/>
      <c r="G36" s="96"/>
      <c r="H36" s="97"/>
      <c r="I36" s="92" t="s">
        <v>52</v>
      </c>
      <c r="J36" s="93"/>
      <c r="K36" s="92" t="s">
        <v>53</v>
      </c>
      <c r="L36" s="93"/>
      <c r="M36" s="92" t="s">
        <v>54</v>
      </c>
      <c r="N36" s="93"/>
      <c r="O36" s="92" t="s">
        <v>55</v>
      </c>
      <c r="P36" s="93"/>
    </row>
    <row r="37" spans="1:16" ht="12.75" customHeight="1" x14ac:dyDescent="0.2">
      <c r="A37" s="65"/>
      <c r="B37" s="45" t="s">
        <v>56</v>
      </c>
      <c r="C37" s="45"/>
      <c r="D37" s="45"/>
      <c r="E37" s="45"/>
      <c r="F37" s="98"/>
      <c r="G37" s="99"/>
      <c r="H37" s="100"/>
      <c r="I37" s="101"/>
      <c r="J37" s="102"/>
      <c r="K37" s="101"/>
      <c r="L37" s="102"/>
      <c r="M37" s="101"/>
      <c r="N37" s="102"/>
      <c r="O37" s="103" t="s">
        <v>57</v>
      </c>
      <c r="P37" s="104"/>
    </row>
    <row r="38" spans="1:16" ht="15" customHeight="1" x14ac:dyDescent="0.2">
      <c r="A38" s="65"/>
      <c r="B38" s="45" t="s">
        <v>41</v>
      </c>
      <c r="C38" s="45">
        <f>+C36+0.3</f>
        <v>0.3</v>
      </c>
      <c r="D38" s="45">
        <f>((7.5*D36)/100)+D36</f>
        <v>0</v>
      </c>
      <c r="E38" s="45">
        <f>+E36+2</f>
        <v>2</v>
      </c>
      <c r="F38" s="98"/>
      <c r="G38" s="105" t="s">
        <v>58</v>
      </c>
      <c r="H38" s="106"/>
      <c r="I38" s="106"/>
      <c r="J38" s="106"/>
      <c r="K38" s="107"/>
      <c r="L38" s="105" t="s">
        <v>59</v>
      </c>
      <c r="M38" s="106"/>
      <c r="N38" s="107"/>
      <c r="O38" s="108" t="s">
        <v>60</v>
      </c>
      <c r="P38" s="109"/>
    </row>
    <row r="39" spans="1:16" ht="14.25" customHeight="1" x14ac:dyDescent="0.2">
      <c r="A39" s="65"/>
      <c r="B39" s="73" t="s">
        <v>42</v>
      </c>
      <c r="C39" s="73">
        <f>+C36-0.3</f>
        <v>-0.3</v>
      </c>
      <c r="D39" s="73">
        <f>(D36-(7.5*D36)/100)</f>
        <v>0</v>
      </c>
      <c r="E39" s="110">
        <f>+E36-2</f>
        <v>-2</v>
      </c>
      <c r="F39" s="111"/>
      <c r="G39" s="40"/>
      <c r="H39" s="41"/>
      <c r="I39" s="41"/>
      <c r="J39" s="41"/>
      <c r="K39" s="42"/>
      <c r="L39" s="40"/>
      <c r="M39" s="41"/>
      <c r="N39" s="42"/>
      <c r="O39" s="101"/>
      <c r="P39" s="102"/>
    </row>
    <row r="40" spans="1:16" ht="16.5" customHeight="1" x14ac:dyDescent="0.2">
      <c r="A40" s="65"/>
      <c r="B40" s="78" t="s">
        <v>22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112"/>
    </row>
    <row r="41" spans="1:16" ht="12.75" customHeight="1" x14ac:dyDescent="0.2">
      <c r="A41" s="65"/>
      <c r="B41" s="81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113"/>
    </row>
    <row r="42" spans="1:16" ht="15" customHeight="1" x14ac:dyDescent="0.2">
      <c r="A42" s="65"/>
      <c r="B42" s="84" t="s">
        <v>46</v>
      </c>
      <c r="C42" s="36"/>
      <c r="D42" s="36"/>
      <c r="E42" s="36"/>
      <c r="F42" s="36"/>
      <c r="G42" s="36"/>
      <c r="H42" s="33" t="s">
        <v>61</v>
      </c>
      <c r="I42" s="34"/>
      <c r="J42" s="34"/>
      <c r="K42" s="34"/>
      <c r="L42" s="34"/>
      <c r="M42" s="34"/>
      <c r="N42" s="34"/>
      <c r="O42" s="34"/>
      <c r="P42" s="35"/>
    </row>
    <row r="43" spans="1:16" ht="19.5" customHeight="1" x14ac:dyDescent="0.2">
      <c r="A43" s="65" t="s">
        <v>62</v>
      </c>
      <c r="B43" s="114" t="s">
        <v>63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6"/>
    </row>
    <row r="44" spans="1:16" ht="15" customHeight="1" x14ac:dyDescent="0.2">
      <c r="A44" s="65"/>
      <c r="B44" s="44"/>
      <c r="C44" s="44"/>
      <c r="D44" s="44" t="s">
        <v>64</v>
      </c>
      <c r="E44" s="44"/>
      <c r="F44" s="117"/>
      <c r="G44" s="44"/>
      <c r="H44" s="118" t="s">
        <v>65</v>
      </c>
      <c r="I44" s="118"/>
      <c r="J44" s="118"/>
      <c r="K44" s="119"/>
      <c r="L44" s="44"/>
      <c r="M44" s="44"/>
      <c r="N44" s="44"/>
      <c r="O44" s="44"/>
      <c r="P44" s="47"/>
    </row>
    <row r="45" spans="1:16" x14ac:dyDescent="0.2">
      <c r="A45" s="65"/>
      <c r="B45" s="78" t="s">
        <v>22</v>
      </c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80"/>
    </row>
    <row r="46" spans="1:16" x14ac:dyDescent="0.2">
      <c r="A46" s="65"/>
      <c r="B46" s="81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3"/>
    </row>
    <row r="47" spans="1:16" x14ac:dyDescent="0.2">
      <c r="A47" s="65"/>
      <c r="B47" s="84" t="s">
        <v>46</v>
      </c>
      <c r="C47" s="36"/>
      <c r="D47" s="36"/>
      <c r="E47" s="36"/>
      <c r="F47" s="36"/>
      <c r="G47" s="36"/>
      <c r="H47" s="33" t="s">
        <v>66</v>
      </c>
      <c r="I47" s="34"/>
      <c r="J47" s="34"/>
      <c r="K47" s="34"/>
      <c r="L47" s="34"/>
      <c r="M47" s="34"/>
      <c r="N47" s="34"/>
      <c r="O47" s="34"/>
      <c r="P47" s="35"/>
    </row>
    <row r="48" spans="1:16" x14ac:dyDescent="0.2">
      <c r="A48" s="65"/>
      <c r="B48" s="44"/>
      <c r="C48" s="44"/>
      <c r="D48" s="44"/>
      <c r="E48" s="44"/>
      <c r="F48" s="46"/>
      <c r="G48" s="44"/>
      <c r="H48" s="46"/>
      <c r="I48" s="44"/>
      <c r="J48" s="44"/>
      <c r="K48" s="44"/>
      <c r="L48" s="44"/>
      <c r="M48" s="44"/>
      <c r="N48" s="44"/>
      <c r="O48" s="44"/>
      <c r="P48" s="47"/>
    </row>
    <row r="49" spans="1:16" ht="16.5" customHeight="1" x14ac:dyDescent="0.2">
      <c r="A49" s="65"/>
      <c r="B49" s="120" t="s">
        <v>67</v>
      </c>
      <c r="C49" s="120"/>
      <c r="D49" s="120"/>
      <c r="E49" s="120"/>
      <c r="F49" s="46"/>
      <c r="G49" s="44"/>
      <c r="H49" s="46"/>
      <c r="I49" s="44"/>
      <c r="J49" s="44"/>
      <c r="K49" s="44"/>
      <c r="L49" s="44"/>
      <c r="M49" s="44"/>
      <c r="N49" s="44"/>
      <c r="O49" s="44"/>
      <c r="P49" s="47"/>
    </row>
    <row r="50" spans="1:16" x14ac:dyDescent="0.2">
      <c r="A50" s="121"/>
      <c r="B50" s="44"/>
      <c r="C50" s="44"/>
      <c r="D50" s="44"/>
      <c r="E50" s="44"/>
      <c r="F50" s="46"/>
      <c r="G50" s="44"/>
      <c r="H50" s="46"/>
      <c r="I50" s="44"/>
      <c r="J50" s="44"/>
      <c r="K50" s="44"/>
      <c r="L50" s="44"/>
      <c r="M50" s="44"/>
      <c r="N50" s="44"/>
      <c r="O50" s="44"/>
      <c r="P50" s="47"/>
    </row>
    <row r="51" spans="1:16" x14ac:dyDescent="0.2">
      <c r="A51" s="121"/>
      <c r="B51" s="44"/>
      <c r="C51" s="44"/>
      <c r="D51" s="44"/>
      <c r="E51" s="44"/>
      <c r="F51" s="46"/>
      <c r="G51" s="44"/>
      <c r="H51" s="46"/>
      <c r="I51" s="44"/>
      <c r="J51" s="44"/>
      <c r="K51" s="44"/>
      <c r="L51" s="44"/>
      <c r="M51" s="44"/>
      <c r="N51" s="44"/>
      <c r="O51" s="44"/>
      <c r="P51" s="47"/>
    </row>
    <row r="52" spans="1:16" x14ac:dyDescent="0.2">
      <c r="A52" s="121"/>
      <c r="B52" s="44"/>
      <c r="C52" s="44"/>
      <c r="D52" s="44"/>
      <c r="E52" s="44"/>
      <c r="F52" s="46"/>
      <c r="G52" s="44"/>
      <c r="H52" s="46"/>
      <c r="I52" s="44"/>
      <c r="J52" s="44"/>
      <c r="K52" s="44"/>
      <c r="L52" s="44"/>
      <c r="M52" s="44"/>
      <c r="N52" s="44"/>
      <c r="O52" s="44"/>
      <c r="P52" s="47"/>
    </row>
    <row r="53" spans="1:16" x14ac:dyDescent="0.2">
      <c r="A53" s="121"/>
      <c r="B53" s="44"/>
      <c r="C53" s="44"/>
      <c r="D53" s="44"/>
      <c r="E53" s="44"/>
      <c r="F53" s="46"/>
      <c r="G53" s="44"/>
      <c r="H53" s="46"/>
      <c r="I53" s="44"/>
      <c r="J53" s="44"/>
      <c r="K53" s="44"/>
      <c r="L53" s="44"/>
      <c r="M53" s="44"/>
      <c r="N53" s="44"/>
      <c r="O53" s="44"/>
      <c r="P53" s="47"/>
    </row>
    <row r="54" spans="1:16" ht="13.5" thickBot="1" x14ac:dyDescent="0.25">
      <c r="A54" s="122"/>
      <c r="B54" s="123"/>
      <c r="C54" s="123"/>
      <c r="D54" s="123"/>
      <c r="E54" s="123"/>
      <c r="F54" s="124"/>
      <c r="G54" s="123"/>
      <c r="H54" s="124"/>
      <c r="I54" s="123"/>
      <c r="J54" s="123"/>
      <c r="K54" s="123"/>
      <c r="L54" s="123"/>
      <c r="M54" s="123"/>
      <c r="N54" s="123"/>
      <c r="O54" s="123"/>
      <c r="P54" s="125"/>
    </row>
  </sheetData>
  <mergeCells count="62">
    <mergeCell ref="A43:A49"/>
    <mergeCell ref="B43:P43"/>
    <mergeCell ref="H44:J44"/>
    <mergeCell ref="B45:P46"/>
    <mergeCell ref="B47:G47"/>
    <mergeCell ref="H47:P47"/>
    <mergeCell ref="G39:K39"/>
    <mergeCell ref="L39:N39"/>
    <mergeCell ref="O39:P39"/>
    <mergeCell ref="B40:P41"/>
    <mergeCell ref="B42:G42"/>
    <mergeCell ref="H42:P42"/>
    <mergeCell ref="O36:P36"/>
    <mergeCell ref="I37:J37"/>
    <mergeCell ref="K37:L37"/>
    <mergeCell ref="M37:N37"/>
    <mergeCell ref="O37:P37"/>
    <mergeCell ref="G38:K38"/>
    <mergeCell ref="L38:N38"/>
    <mergeCell ref="O38:P38"/>
    <mergeCell ref="A33:A42"/>
    <mergeCell ref="B33:P33"/>
    <mergeCell ref="H34:I34"/>
    <mergeCell ref="J34:P34"/>
    <mergeCell ref="G35:H35"/>
    <mergeCell ref="I35:P35"/>
    <mergeCell ref="G36:H37"/>
    <mergeCell ref="I36:J36"/>
    <mergeCell ref="K36:L36"/>
    <mergeCell ref="M36:N36"/>
    <mergeCell ref="F21:H21"/>
    <mergeCell ref="I21:K21"/>
    <mergeCell ref="L21:M21"/>
    <mergeCell ref="N21:P21"/>
    <mergeCell ref="B22:P22"/>
    <mergeCell ref="A23:A32"/>
    <mergeCell ref="E29:P29"/>
    <mergeCell ref="B30:P31"/>
    <mergeCell ref="B32:G32"/>
    <mergeCell ref="H32:P32"/>
    <mergeCell ref="B16:P16"/>
    <mergeCell ref="B17:P18"/>
    <mergeCell ref="B19:P19"/>
    <mergeCell ref="B20:E20"/>
    <mergeCell ref="F20:H20"/>
    <mergeCell ref="I20:K20"/>
    <mergeCell ref="L20:P20"/>
    <mergeCell ref="B9:P9"/>
    <mergeCell ref="B10:P10"/>
    <mergeCell ref="B11:P11"/>
    <mergeCell ref="B12:P12"/>
    <mergeCell ref="B13:P13"/>
    <mergeCell ref="E14:I14"/>
    <mergeCell ref="A2:H4"/>
    <mergeCell ref="I2:J4"/>
    <mergeCell ref="K2:K4"/>
    <mergeCell ref="L2:P4"/>
    <mergeCell ref="A5:A22"/>
    <mergeCell ref="B5:P5"/>
    <mergeCell ref="B6:P6"/>
    <mergeCell ref="B7:P7"/>
    <mergeCell ref="B8:P8"/>
  </mergeCells>
  <pageMargins left="0.39370078740157483" right="0.19685039370078741" top="0.59055118110236227" bottom="0.39370078740157483" header="0" footer="0"/>
  <pageSetup paperSize="9" scale="8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Paint4" shapeId="1025" r:id="rId4">
          <objectPr defaultSize="0" autoPict="0" r:id="rId5">
            <anchor moveWithCells="1" sizeWithCells="1">
              <from>
                <xdr:col>0</xdr:col>
                <xdr:colOff>95250</xdr:colOff>
                <xdr:row>4</xdr:row>
                <xdr:rowOff>0</xdr:rowOff>
              </from>
              <to>
                <xdr:col>3</xdr:col>
                <xdr:colOff>400050</xdr:colOff>
                <xdr:row>4</xdr:row>
                <xdr:rowOff>0</xdr:rowOff>
              </to>
            </anchor>
          </objectPr>
        </oleObject>
      </mc:Choice>
      <mc:Fallback>
        <oleObject progId="CPaint4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ALAMOS WOTM 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Baez</dc:creator>
  <cp:lastModifiedBy>Claudio Baez</cp:lastModifiedBy>
  <dcterms:created xsi:type="dcterms:W3CDTF">2026-07-16T11:12:23Z</dcterms:created>
  <dcterms:modified xsi:type="dcterms:W3CDTF">2026-07-16T11:27:26Z</dcterms:modified>
</cp:coreProperties>
</file>